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EXCEL 0 AO PRÓ\"/>
    </mc:Choice>
  </mc:AlternateContent>
  <xr:revisionPtr revIDLastSave="0" documentId="8_{3BC8DFC3-5410-437C-8322-AEF2B4916433}" xr6:coauthVersionLast="47" xr6:coauthVersionMax="47" xr10:uidLastSave="{00000000-0000-0000-0000-000000000000}"/>
  <bookViews>
    <workbookView xWindow="-120" yWindow="-120" windowWidth="20730" windowHeight="11160" firstSheet="2" activeTab="2" xr2:uid="{7FC3B266-622D-4A1E-900A-F2AA0B66667D}"/>
  </bookViews>
  <sheets>
    <sheet name="Planilha" sheetId="1" state="hidden" r:id="rId1"/>
    <sheet name="Tabelas" sheetId="2" state="hidden" r:id="rId2"/>
    <sheet name="Dashboard" sheetId="3" r:id="rId3"/>
  </sheets>
  <definedNames>
    <definedName name="SegmentaçãodeDados_Ano">#N/A</definedName>
    <definedName name="SegmentaçãodeDados_Cidade">#N/A</definedName>
    <definedName name="SegmentaçãodeDados_Gerente">#N/A</definedName>
    <definedName name="SegmentaçãodeDados_Vendedor">#N/A</definedName>
  </definedNames>
  <calcPr calcId="191029"/>
  <pivotCaches>
    <pivotCache cacheId="354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1" l="1"/>
  <c r="G9" i="1"/>
  <c r="G10" i="1"/>
  <c r="G12" i="1"/>
  <c r="G13" i="1"/>
  <c r="G19" i="1" s="1"/>
  <c r="G25" i="1" s="1"/>
  <c r="G15" i="1"/>
  <c r="G16" i="1"/>
  <c r="G22" i="1" s="1"/>
  <c r="G28" i="1" s="1"/>
  <c r="G23" i="1"/>
  <c r="G29" i="1" s="1"/>
  <c r="G18" i="1"/>
  <c r="G24" i="1" s="1"/>
  <c r="G30" i="1" s="1"/>
  <c r="G21" i="1"/>
  <c r="G8" i="1"/>
  <c r="G31" i="1" l="1"/>
  <c r="G14" i="1"/>
  <c r="G20" i="1" s="1"/>
  <c r="G26" i="1" s="1"/>
</calcChain>
</file>

<file path=xl/sharedStrings.xml><?xml version="1.0" encoding="utf-8"?>
<sst xmlns="http://schemas.openxmlformats.org/spreadsheetml/2006/main" count="191" uniqueCount="34">
  <si>
    <t>Estado</t>
  </si>
  <si>
    <t>Cidade</t>
  </si>
  <si>
    <t>Gerente</t>
  </si>
  <si>
    <t>Supervisor</t>
  </si>
  <si>
    <t>Vendedor</t>
  </si>
  <si>
    <t>Ano</t>
  </si>
  <si>
    <t>Valor de Vendas</t>
  </si>
  <si>
    <t>SP</t>
  </si>
  <si>
    <t>RJ</t>
  </si>
  <si>
    <t>MG</t>
  </si>
  <si>
    <t>PR</t>
  </si>
  <si>
    <t>RS</t>
  </si>
  <si>
    <t>SC</t>
  </si>
  <si>
    <t>Niterói</t>
  </si>
  <si>
    <t>Ouro Preto</t>
  </si>
  <si>
    <t>Bauru</t>
  </si>
  <si>
    <t>Londrina</t>
  </si>
  <si>
    <t>Gramado</t>
  </si>
  <si>
    <t>Joinville</t>
  </si>
  <si>
    <t>Manoela</t>
  </si>
  <si>
    <t>Larissa</t>
  </si>
  <si>
    <t>Jéssica</t>
  </si>
  <si>
    <t>André</t>
  </si>
  <si>
    <t>João</t>
  </si>
  <si>
    <t>Paulo</t>
  </si>
  <si>
    <t>Claúdio</t>
  </si>
  <si>
    <t>Fernanda</t>
  </si>
  <si>
    <t>Beatriz</t>
  </si>
  <si>
    <t>Felipe</t>
  </si>
  <si>
    <t>Giovana</t>
  </si>
  <si>
    <t>Soma de Valor de Vendas</t>
  </si>
  <si>
    <t>Rótulos de Linha</t>
  </si>
  <si>
    <t>Total Geral</t>
  </si>
  <si>
    <t>Dashboard de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</si>
</sst>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3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0" fontId="0" fillId="0" borderId="1" xfId="0" applyBorder="1" applyAlignment="1">
      <alignment horizontal="center"/>
    </xf>
    <xf numFmtId="44" fontId="0" fillId="0" borderId="1" xfId="1" applyFont="1" applyBorder="1"/>
    <xf numFmtId="0" fontId="2" fillId="2" borderId="1" xfId="0" applyFont="1" applyFill="1" applyBorder="1" applyAlignment="1">
      <alignment horizontal="center"/>
    </xf>
    <xf numFmtId="44" fontId="2" fillId="2" borderId="1" xfId="1" applyFont="1" applyFill="1" applyBorder="1" applyAlignment="1">
      <alignment horizontal="center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0" fillId="3" borderId="0" xfId="0" applyFill="1"/>
    <xf numFmtId="0" fontId="4" fillId="3" borderId="0" xfId="0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3">
    <dxf>
      <font>
        <color theme="1" tint="4.9989318521683403E-2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rgb="FF660066"/>
        </patternFill>
      </fill>
    </dxf>
  </dxfs>
  <tableStyles count="3" defaultTableStyle="TableStyleMedium2" defaultPivotStyle="PivotStyleLight16">
    <tableStyle name="Estilo de Segmentação de Dados 1" pivot="0" table="0" count="0" xr9:uid="{A54994AC-A166-49FD-8367-0BFE67E6F921}"/>
    <tableStyle name="Estilo de Segmentação de Dados 2" pivot="0" table="0" count="1" xr9:uid="{B909D70E-E229-47AD-B771-D0773513D4A7}">
      <tableStyleElement type="wholeTable" dxfId="2"/>
    </tableStyle>
    <tableStyle name="Estilo de Segmentação de Dados 3" pivot="0" table="0" count="6" xr9:uid="{309BCB53-15D1-4934-AC81-0331C03A0151}">
      <tableStyleElement type="wholeTable" dxfId="1"/>
      <tableStyleElement type="headerRow" dxfId="0"/>
    </tableStyle>
  </tableStyles>
  <colors>
    <mruColors>
      <color rgb="FF660066"/>
      <color rgb="FF6600CC"/>
      <color rgb="FF990099"/>
      <color rgb="FF9900CC"/>
      <color rgb="FFCC66FF"/>
      <color rgb="FFFFCC99"/>
    </mruColors>
  </colors>
  <extLst>
    <ext xmlns:x14="http://schemas.microsoft.com/office/spreadsheetml/2009/9/main" uri="{46F421CA-312F-682f-3DD2-61675219B42D}">
      <x14:dxfs count="4">
        <dxf>
          <fill>
            <patternFill>
              <bgColor theme="8" tint="0.79998168889431442"/>
            </patternFill>
          </fill>
        </dxf>
        <dxf>
          <fill>
            <patternFill>
              <bgColor theme="8" tint="0.79998168889431442"/>
            </patternFill>
          </fill>
        </dxf>
        <dxf>
          <fill>
            <patternFill>
              <bgColor theme="8"/>
            </patternFill>
          </fill>
        </dxf>
        <dxf>
          <fill>
            <patternFill>
              <bgColor theme="8" tint="0.7999816888943144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>
          <x14:slicerStyleElements>
            <x14:slicerStyleElement type="unselectedItemWithNoData" dxfId="3"/>
            <x14:slicerStyleElement type="selectedItemWithData" dxfId="2"/>
            <x14:slicerStyleElement type="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 – Vendas 2.xlsx]Tabelas!Vendedor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VENDEDORES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9915069991251086"/>
          <c:y val="0.26791447944006996"/>
          <c:w val="0.49058070866141734"/>
          <c:h val="0.62968613298337706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Tabelas!$B$3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Tabelas!$A$4:$A$10</c:f>
              <c:strCache>
                <c:ptCount val="6"/>
                <c:pt idx="0">
                  <c:v>Beatriz</c:v>
                </c:pt>
                <c:pt idx="1">
                  <c:v>Claúdio</c:v>
                </c:pt>
                <c:pt idx="2">
                  <c:v>Felipe</c:v>
                </c:pt>
                <c:pt idx="3">
                  <c:v>Fernanda</c:v>
                </c:pt>
                <c:pt idx="4">
                  <c:v>Giovana</c:v>
                </c:pt>
                <c:pt idx="5">
                  <c:v>Paulo</c:v>
                </c:pt>
              </c:strCache>
            </c:strRef>
          </c:cat>
          <c:val>
            <c:numRef>
              <c:f>Tabelas!$B$4:$B$10</c:f>
              <c:numCache>
                <c:formatCode>_("R$"* #,##0.00_);_("R$"* \(#,##0.00\);_("R$"* "-"??_);_(@_)</c:formatCode>
                <c:ptCount val="6"/>
                <c:pt idx="0">
                  <c:v>20905</c:v>
                </c:pt>
                <c:pt idx="1">
                  <c:v>14760</c:v>
                </c:pt>
                <c:pt idx="2">
                  <c:v>11320</c:v>
                </c:pt>
                <c:pt idx="3">
                  <c:v>4810</c:v>
                </c:pt>
                <c:pt idx="4">
                  <c:v>7640</c:v>
                </c:pt>
                <c:pt idx="5">
                  <c:v>11061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A-4DF7-ABAA-A31C71AC60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8339984"/>
        <c:axId val="1778341904"/>
        <c:axId val="0"/>
      </c:bar3DChart>
      <c:catAx>
        <c:axId val="17783399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8341904"/>
        <c:crosses val="autoZero"/>
        <c:auto val="1"/>
        <c:lblAlgn val="ctr"/>
        <c:lblOffset val="100"/>
        <c:noMultiLvlLbl val="0"/>
      </c:catAx>
      <c:valAx>
        <c:axId val="177834190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77833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[Dashboard – Vendas 2.xlsx]Tabelas!Estado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VENDAS</a:t>
            </a:r>
            <a:r>
              <a:rPr lang="pt-BR" b="1" baseline="0"/>
              <a:t> POR ESTADO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6006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Tabelas!$B$12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60066"/>
            </a:solidFill>
            <a:ln>
              <a:noFill/>
            </a:ln>
            <a:effectLst/>
            <a:sp3d/>
          </c:spPr>
          <c:invertIfNegative val="0"/>
          <c:cat>
            <c:strRef>
              <c:f>Tabelas!$A$13:$A$19</c:f>
              <c:strCache>
                <c:ptCount val="6"/>
                <c:pt idx="0">
                  <c:v>MG</c:v>
                </c:pt>
                <c:pt idx="1">
                  <c:v>PR</c:v>
                </c:pt>
                <c:pt idx="2">
                  <c:v>RJ</c:v>
                </c:pt>
                <c:pt idx="3">
                  <c:v>RS</c:v>
                </c:pt>
                <c:pt idx="4">
                  <c:v>SC</c:v>
                </c:pt>
                <c:pt idx="5">
                  <c:v>SP</c:v>
                </c:pt>
              </c:strCache>
            </c:strRef>
          </c:cat>
          <c:val>
            <c:numRef>
              <c:f>Tabelas!$B$13:$B$19</c:f>
              <c:numCache>
                <c:formatCode>_("R$"* #,##0.00_);_("R$"* \(#,##0.00\);_("R$"* "-"??_);_(@_)</c:formatCode>
                <c:ptCount val="6"/>
                <c:pt idx="0">
                  <c:v>4810</c:v>
                </c:pt>
                <c:pt idx="1">
                  <c:v>20905</c:v>
                </c:pt>
                <c:pt idx="2">
                  <c:v>14760</c:v>
                </c:pt>
                <c:pt idx="3">
                  <c:v>11320</c:v>
                </c:pt>
                <c:pt idx="4">
                  <c:v>7640</c:v>
                </c:pt>
                <c:pt idx="5">
                  <c:v>11061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5-460A-AD67-3622E710B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4793248"/>
        <c:axId val="754791328"/>
        <c:axId val="0"/>
      </c:bar3DChart>
      <c:catAx>
        <c:axId val="75479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4791328"/>
        <c:crosses val="autoZero"/>
        <c:auto val="1"/>
        <c:lblAlgn val="ctr"/>
        <c:lblOffset val="100"/>
        <c:noMultiLvlLbl val="0"/>
      </c:catAx>
      <c:valAx>
        <c:axId val="75479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479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– Vendas 2.xlsx]Tabelas!Supervisor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VENDAS POR SUPERVISORES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bg1">
                <a:lumMod val="9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C66FF"/>
          </a:solidFill>
          <a:ln w="19050">
            <a:solidFill>
              <a:schemeClr val="bg1">
                <a:lumMod val="95000"/>
              </a:schemeClr>
            </a:solidFill>
          </a:ln>
          <a:effectLst/>
        </c:spPr>
        <c:dLbl>
          <c:idx val="0"/>
          <c:layout>
            <c:manualLayout>
              <c:x val="9.6742769963365574E-2"/>
              <c:y val="-6.47639549324466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60066"/>
          </a:solidFill>
          <a:ln w="19050">
            <a:solidFill>
              <a:schemeClr val="bg1">
                <a:lumMod val="95000"/>
              </a:schemeClr>
            </a:solidFill>
          </a:ln>
          <a:effectLst/>
        </c:spPr>
        <c:dLbl>
          <c:idx val="0"/>
          <c:layout>
            <c:manualLayout>
              <c:x val="0"/>
              <c:y val="9.06695369054252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 w="19050">
            <a:solidFill>
              <a:schemeClr val="bg1">
                <a:lumMod val="95000"/>
              </a:schemeClr>
            </a:solidFill>
          </a:ln>
          <a:effectLst/>
        </c:spPr>
        <c:dLbl>
          <c:idx val="0"/>
          <c:layout>
            <c:manualLayout>
              <c:x val="-6.191537277655406E-2"/>
              <c:y val="-0.120892715873900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Tabelas!$E$3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1">
                  <a:lumMod val="95000"/>
                </a:schemeClr>
              </a:solidFill>
            </a:ln>
          </c:spPr>
          <c:dPt>
            <c:idx val="0"/>
            <c:bubble3D val="0"/>
            <c:spPr>
              <a:solidFill>
                <a:srgbClr val="CC66FF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D7-4DF2-A944-D3CA85B3D91C}"/>
              </c:ext>
            </c:extLst>
          </c:dPt>
          <c:dPt>
            <c:idx val="1"/>
            <c:bubble3D val="0"/>
            <c:spPr>
              <a:solidFill>
                <a:srgbClr val="660066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D7-4DF2-A944-D3CA85B3D91C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D7-4DF2-A944-D3CA85B3D91C}"/>
              </c:ext>
            </c:extLst>
          </c:dPt>
          <c:dLbls>
            <c:dLbl>
              <c:idx val="0"/>
              <c:layout>
                <c:manualLayout>
                  <c:x val="9.6742769963365574E-2"/>
                  <c:y val="-6.47639549324466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D7-4DF2-A944-D3CA85B3D91C}"/>
                </c:ext>
              </c:extLst>
            </c:dLbl>
            <c:dLbl>
              <c:idx val="1"/>
              <c:layout>
                <c:manualLayout>
                  <c:x val="0"/>
                  <c:y val="9.066953690542524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D7-4DF2-A944-D3CA85B3D91C}"/>
                </c:ext>
              </c:extLst>
            </c:dLbl>
            <c:dLbl>
              <c:idx val="2"/>
              <c:layout>
                <c:manualLayout>
                  <c:x val="-6.191537277655406E-2"/>
                  <c:y val="-0.120892715873900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5D7-4DF2-A944-D3CA85B3D9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Tabelas!$D$4:$D$7</c:f>
              <c:strCache>
                <c:ptCount val="3"/>
                <c:pt idx="0">
                  <c:v>André</c:v>
                </c:pt>
                <c:pt idx="1">
                  <c:v>Jéssica</c:v>
                </c:pt>
                <c:pt idx="2">
                  <c:v>João</c:v>
                </c:pt>
              </c:strCache>
            </c:strRef>
          </c:cat>
          <c:val>
            <c:numRef>
              <c:f>Tabelas!$E$4:$E$7</c:f>
              <c:numCache>
                <c:formatCode>_("R$"* #,##0.00_);_("R$"* \(#,##0.00\);_("R$"* "-"??_);_(@_)</c:formatCode>
                <c:ptCount val="3"/>
                <c:pt idx="0">
                  <c:v>19570</c:v>
                </c:pt>
                <c:pt idx="1">
                  <c:v>31966</c:v>
                </c:pt>
                <c:pt idx="2">
                  <c:v>18960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D7-4DF2-A944-D3CA85B3D91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425450</xdr:colOff>
      <xdr:row>1</xdr:row>
      <xdr:rowOff>92074</xdr:rowOff>
    </xdr:from>
    <xdr:to>
      <xdr:col>20</xdr:col>
      <xdr:colOff>425450</xdr:colOff>
      <xdr:row>4</xdr:row>
      <xdr:rowOff>177799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Ano">
              <a:extLst>
                <a:ext uri="{FF2B5EF4-FFF2-40B4-BE49-F238E27FC236}">
                  <a16:creationId xmlns:a16="http://schemas.microsoft.com/office/drawing/2014/main" id="{4A135B9A-8849-4FE5-81F1-B91A931E4D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31450" y="282574"/>
              <a:ext cx="1828800" cy="657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373206</xdr:colOff>
      <xdr:row>23</xdr:row>
      <xdr:rowOff>147710</xdr:rowOff>
    </xdr:from>
    <xdr:to>
      <xdr:col>20</xdr:col>
      <xdr:colOff>315606</xdr:colOff>
      <xdr:row>29</xdr:row>
      <xdr:rowOff>84710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idade">
              <a:extLst>
                <a:ext uri="{FF2B5EF4-FFF2-40B4-BE49-F238E27FC236}">
                  <a16:creationId xmlns:a16="http://schemas.microsoft.com/office/drawing/2014/main" id="{16EA3AE8-8E78-4650-8750-46209B62B3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dad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50406" y="4529210"/>
              <a:ext cx="3600000" cy="108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284882</xdr:colOff>
      <xdr:row>23</xdr:row>
      <xdr:rowOff>147710</xdr:rowOff>
    </xdr:from>
    <xdr:to>
      <xdr:col>7</xdr:col>
      <xdr:colOff>227282</xdr:colOff>
      <xdr:row>29</xdr:row>
      <xdr:rowOff>84710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Gerente">
              <a:extLst>
                <a:ext uri="{FF2B5EF4-FFF2-40B4-BE49-F238E27FC236}">
                  <a16:creationId xmlns:a16="http://schemas.microsoft.com/office/drawing/2014/main" id="{6D5C57D9-CAA4-4B15-88E4-1D0BE69397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ren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7282" y="4529210"/>
              <a:ext cx="3600000" cy="108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21650</xdr:colOff>
      <xdr:row>23</xdr:row>
      <xdr:rowOff>147710</xdr:rowOff>
    </xdr:from>
    <xdr:to>
      <xdr:col>13</xdr:col>
      <xdr:colOff>573650</xdr:colOff>
      <xdr:row>29</xdr:row>
      <xdr:rowOff>84710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Vendedor">
              <a:extLst>
                <a:ext uri="{FF2B5EF4-FFF2-40B4-BE49-F238E27FC236}">
                  <a16:creationId xmlns:a16="http://schemas.microsoft.com/office/drawing/2014/main" id="{7CF0EE68-C759-4AD6-82CB-DCEBC9A089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41250" y="4529210"/>
              <a:ext cx="3600000" cy="108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121223</xdr:colOff>
      <xdr:row>6</xdr:row>
      <xdr:rowOff>121227</xdr:rowOff>
    </xdr:from>
    <xdr:to>
      <xdr:col>8</xdr:col>
      <xdr:colOff>139610</xdr:colOff>
      <xdr:row>21</xdr:row>
      <xdr:rowOff>143727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14E59BF-7930-44F7-A28F-BB0342BFE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491611</xdr:colOff>
      <xdr:row>6</xdr:row>
      <xdr:rowOff>90502</xdr:rowOff>
    </xdr:from>
    <xdr:to>
      <xdr:col>20</xdr:col>
      <xdr:colOff>509999</xdr:colOff>
      <xdr:row>21</xdr:row>
      <xdr:rowOff>113002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CF7802D-FC07-4512-A377-3E113DE3C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225137</xdr:colOff>
      <xdr:row>6</xdr:row>
      <xdr:rowOff>103908</xdr:rowOff>
    </xdr:from>
    <xdr:to>
      <xdr:col>13</xdr:col>
      <xdr:colOff>434455</xdr:colOff>
      <xdr:row>21</xdr:row>
      <xdr:rowOff>126408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6576931-FFEB-4724-88F1-2EDD9FCCA9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8.615076273149" createdVersion="8" refreshedVersion="8" minRefreshableVersion="3" recordCount="30" xr:uid="{93A4BABC-A6F6-4285-8534-3175342F6512}">
  <cacheSource type="worksheet">
    <worksheetSource ref="A1:G31" sheet="Planilha"/>
  </cacheSource>
  <cacheFields count="7">
    <cacheField name="Ano" numFmtId="0">
      <sharedItems containsSemiMixedTypes="0" containsString="0" containsNumber="1" containsInteger="1" minValue="2022" maxValue="2023" count="2">
        <n v="2022"/>
        <n v="2023"/>
      </sharedItems>
    </cacheField>
    <cacheField name="Estado" numFmtId="0">
      <sharedItems count="6">
        <s v="SP"/>
        <s v="RJ"/>
        <s v="MG"/>
        <s v="PR"/>
        <s v="RS"/>
        <s v="SC"/>
      </sharedItems>
    </cacheField>
    <cacheField name="Cidade" numFmtId="0">
      <sharedItems count="6">
        <s v="Bauru"/>
        <s v="Niterói"/>
        <s v="Ouro Preto"/>
        <s v="Londrina"/>
        <s v="Gramado"/>
        <s v="Joinville"/>
      </sharedItems>
    </cacheField>
    <cacheField name="Gerente" numFmtId="0">
      <sharedItems count="2">
        <s v="Manoela"/>
        <s v="Larissa"/>
      </sharedItems>
    </cacheField>
    <cacheField name="Supervisor" numFmtId="0">
      <sharedItems count="3">
        <s v="Jéssica"/>
        <s v="André"/>
        <s v="João"/>
      </sharedItems>
    </cacheField>
    <cacheField name="Vendedor" numFmtId="0">
      <sharedItems count="6">
        <s v="Paulo"/>
        <s v="Claúdio"/>
        <s v="Fernanda"/>
        <s v="Beatriz"/>
        <s v="Felipe"/>
        <s v="Giovana"/>
      </sharedItems>
    </cacheField>
    <cacheField name="Valor de Vendas" numFmtId="44">
      <sharedItems containsSemiMixedTypes="0" containsString="0" containsNumber="1" containsInteger="1" minValue="2345" maxValue="12345"/>
    </cacheField>
  </cacheFields>
  <extLst>
    <ext xmlns:x14="http://schemas.microsoft.com/office/spreadsheetml/2009/9/main" uri="{725AE2AE-9491-48be-B2B4-4EB974FC3084}">
      <x14:pivotCacheDefinition pivotCacheId="8608309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x v="0"/>
    <x v="0"/>
    <x v="0"/>
    <n v="3567"/>
  </r>
  <r>
    <x v="0"/>
    <x v="1"/>
    <x v="1"/>
    <x v="0"/>
    <x v="1"/>
    <x v="1"/>
    <n v="4800"/>
  </r>
  <r>
    <x v="0"/>
    <x v="2"/>
    <x v="2"/>
    <x v="0"/>
    <x v="1"/>
    <x v="2"/>
    <n v="2345"/>
  </r>
  <r>
    <x v="0"/>
    <x v="3"/>
    <x v="3"/>
    <x v="1"/>
    <x v="0"/>
    <x v="3"/>
    <n v="12345"/>
  </r>
  <r>
    <x v="0"/>
    <x v="4"/>
    <x v="4"/>
    <x v="1"/>
    <x v="2"/>
    <x v="4"/>
    <n v="5600"/>
  </r>
  <r>
    <x v="0"/>
    <x v="5"/>
    <x v="5"/>
    <x v="1"/>
    <x v="2"/>
    <x v="5"/>
    <n v="3760"/>
  </r>
  <r>
    <x v="0"/>
    <x v="0"/>
    <x v="0"/>
    <x v="0"/>
    <x v="0"/>
    <x v="0"/>
    <n v="3687"/>
  </r>
  <r>
    <x v="0"/>
    <x v="1"/>
    <x v="1"/>
    <x v="0"/>
    <x v="1"/>
    <x v="1"/>
    <n v="4920"/>
  </r>
  <r>
    <x v="0"/>
    <x v="2"/>
    <x v="2"/>
    <x v="0"/>
    <x v="1"/>
    <x v="2"/>
    <n v="2465"/>
  </r>
  <r>
    <x v="0"/>
    <x v="3"/>
    <x v="3"/>
    <x v="1"/>
    <x v="0"/>
    <x v="3"/>
    <n v="8560"/>
  </r>
  <r>
    <x v="0"/>
    <x v="4"/>
    <x v="4"/>
    <x v="1"/>
    <x v="2"/>
    <x v="4"/>
    <n v="5720"/>
  </r>
  <r>
    <x v="0"/>
    <x v="5"/>
    <x v="5"/>
    <x v="1"/>
    <x v="2"/>
    <x v="5"/>
    <n v="3880"/>
  </r>
  <r>
    <x v="0"/>
    <x v="0"/>
    <x v="0"/>
    <x v="0"/>
    <x v="0"/>
    <x v="0"/>
    <n v="3807"/>
  </r>
  <r>
    <x v="0"/>
    <x v="1"/>
    <x v="1"/>
    <x v="0"/>
    <x v="1"/>
    <x v="1"/>
    <n v="5040"/>
  </r>
  <r>
    <x v="1"/>
    <x v="2"/>
    <x v="2"/>
    <x v="0"/>
    <x v="1"/>
    <x v="2"/>
    <n v="2585"/>
  </r>
  <r>
    <x v="1"/>
    <x v="3"/>
    <x v="3"/>
    <x v="1"/>
    <x v="0"/>
    <x v="3"/>
    <n v="7450"/>
  </r>
  <r>
    <x v="1"/>
    <x v="4"/>
    <x v="4"/>
    <x v="1"/>
    <x v="2"/>
    <x v="4"/>
    <n v="5840"/>
  </r>
  <r>
    <x v="1"/>
    <x v="5"/>
    <x v="5"/>
    <x v="1"/>
    <x v="2"/>
    <x v="5"/>
    <n v="4000"/>
  </r>
  <r>
    <x v="1"/>
    <x v="0"/>
    <x v="0"/>
    <x v="0"/>
    <x v="0"/>
    <x v="0"/>
    <n v="3927"/>
  </r>
  <r>
    <x v="1"/>
    <x v="1"/>
    <x v="1"/>
    <x v="0"/>
    <x v="1"/>
    <x v="1"/>
    <n v="5160"/>
  </r>
  <r>
    <x v="1"/>
    <x v="2"/>
    <x v="2"/>
    <x v="0"/>
    <x v="1"/>
    <x v="2"/>
    <n v="2705"/>
  </r>
  <r>
    <x v="1"/>
    <x v="3"/>
    <x v="3"/>
    <x v="1"/>
    <x v="0"/>
    <x v="3"/>
    <n v="7570"/>
  </r>
  <r>
    <x v="1"/>
    <x v="4"/>
    <x v="4"/>
    <x v="1"/>
    <x v="2"/>
    <x v="4"/>
    <n v="5960"/>
  </r>
  <r>
    <x v="1"/>
    <x v="5"/>
    <x v="5"/>
    <x v="1"/>
    <x v="2"/>
    <x v="5"/>
    <n v="4120"/>
  </r>
  <r>
    <x v="1"/>
    <x v="0"/>
    <x v="0"/>
    <x v="0"/>
    <x v="0"/>
    <x v="0"/>
    <n v="4047"/>
  </r>
  <r>
    <x v="1"/>
    <x v="1"/>
    <x v="1"/>
    <x v="0"/>
    <x v="1"/>
    <x v="1"/>
    <n v="5280"/>
  </r>
  <r>
    <x v="1"/>
    <x v="2"/>
    <x v="2"/>
    <x v="0"/>
    <x v="1"/>
    <x v="2"/>
    <n v="2825"/>
  </r>
  <r>
    <x v="1"/>
    <x v="3"/>
    <x v="3"/>
    <x v="1"/>
    <x v="0"/>
    <x v="3"/>
    <n v="7690"/>
  </r>
  <r>
    <x v="1"/>
    <x v="4"/>
    <x v="4"/>
    <x v="1"/>
    <x v="2"/>
    <x v="4"/>
    <n v="6080"/>
  </r>
  <r>
    <x v="1"/>
    <x v="5"/>
    <x v="5"/>
    <x v="1"/>
    <x v="2"/>
    <x v="5"/>
    <n v="42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64B4F-6F61-4189-BF7F-B101778B31E5}" name="Estado" cacheId="35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12:B19" firstHeaderRow="1" firstDataRow="1" firstDataCol="1"/>
  <pivotFields count="7">
    <pivotField showAll="0">
      <items count="3">
        <item x="0"/>
        <item h="1" x="1"/>
        <item t="default"/>
      </items>
    </pivotField>
    <pivotField axis="axisRow" showAll="0">
      <items count="7">
        <item x="2"/>
        <item x="3"/>
        <item x="1"/>
        <item x="4"/>
        <item x="5"/>
        <item x="0"/>
        <item t="default"/>
      </items>
    </pivotField>
    <pivotField showAll="0">
      <items count="7">
        <item x="0"/>
        <item x="4"/>
        <item x="5"/>
        <item x="3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1"/>
        <item x="4"/>
        <item x="2"/>
        <item x="5"/>
        <item x="0"/>
        <item t="default"/>
      </items>
    </pivotField>
    <pivotField dataField="1" numFmtId="44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de Vendas" fld="6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60C22-1B9F-41AB-9910-E57193D7602C}" name="Tabela dinâmica15" cacheId="35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9:E12" firstHeaderRow="1" firstDataRow="1" firstDataCol="1"/>
  <pivotFields count="7">
    <pivotField showAll="0">
      <items count="3">
        <item x="0"/>
        <item h="1" x="1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1"/>
        <item x="4"/>
        <item x="2"/>
        <item x="5"/>
        <item x="0"/>
        <item t="default"/>
      </items>
    </pivotField>
    <pivotField dataField="1" numFmtId="44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oma de Valor de Vendas" fld="6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24B05-AC50-4E78-AA78-3BD2C75FD887}" name="Supervisor" cacheId="35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D3:E7" firstHeaderRow="1" firstDataRow="1" firstDataCol="1"/>
  <pivotFields count="7">
    <pivotField showAll="0">
      <items count="3">
        <item x="0"/>
        <item h="1" x="1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>
      <items count="7">
        <item x="3"/>
        <item x="1"/>
        <item x="4"/>
        <item x="2"/>
        <item x="5"/>
        <item x="0"/>
        <item t="default"/>
      </items>
    </pivotField>
    <pivotField dataField="1" numFmtId="44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de Vendas" fld="6" baseField="0" baseItem="0" numFmtId="44"/>
  </dataField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13914-3B05-47B3-9A1F-D79DD34582F1}" name="Vendedor" cacheId="35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3:B10" firstHeaderRow="1" firstDataRow="1" firstDataCol="1"/>
  <pivotFields count="7">
    <pivotField showAll="0">
      <items count="3">
        <item x="0"/>
        <item h="1" x="1"/>
        <item t="default"/>
      </items>
    </pivotField>
    <pivotField showAll="0">
      <items count="7">
        <item x="2"/>
        <item x="3"/>
        <item x="1"/>
        <item x="4"/>
        <item x="5"/>
        <item x="0"/>
        <item t="default"/>
      </items>
    </pivotField>
    <pivotField showAll="0">
      <items count="7">
        <item x="0"/>
        <item x="4"/>
        <item x="5"/>
        <item x="3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showAll="0">
      <items count="7">
        <item x="3"/>
        <item x="1"/>
        <item x="4"/>
        <item x="2"/>
        <item x="5"/>
        <item x="0"/>
        <item t="default"/>
      </items>
    </pivotField>
    <pivotField dataField="1" numFmtId="44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de Vendas" fld="6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062817CE-234C-46E3-A461-FF4B5DF74E98}" sourceName="Ano">
  <pivotTables>
    <pivotTable tabId="2" name="Vendedor"/>
    <pivotTable tabId="2" name="Estado"/>
    <pivotTable tabId="2" name="Supervisor"/>
    <pivotTable tabId="2" name="Tabela dinâmica15"/>
  </pivotTables>
  <data>
    <tabular pivotCacheId="860830962">
      <items count="2">
        <i x="0" s="1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idade" xr10:uid="{8047A855-5006-4EDB-9FCC-063E85F4AD51}" sourceName="Cidade">
  <pivotTables>
    <pivotTable tabId="2" name="Vendedor"/>
    <pivotTable tabId="2" name="Estado"/>
  </pivotTables>
  <data>
    <tabular pivotCacheId="860830962">
      <items count="6">
        <i x="0" s="1"/>
        <i x="4" s="1"/>
        <i x="5" s="1"/>
        <i x="3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erente" xr10:uid="{CEA31CA6-DBD9-4AC0-BC42-4554D5952D21}" sourceName="Gerente">
  <pivotTables>
    <pivotTable tabId="2" name="Vendedor"/>
    <pivotTable tabId="2" name="Estado"/>
    <pivotTable tabId="2" name="Supervisor"/>
  </pivotTables>
  <data>
    <tabular pivotCacheId="860830962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7D3796B1-D43B-47C2-8313-B32BF3AD092B}" sourceName="Vendedor">
  <pivotTables>
    <pivotTable tabId="2" name="Vendedor"/>
    <pivotTable tabId="2" name="Estado"/>
  </pivotTables>
  <data>
    <tabular pivotCacheId="860830962">
      <items count="6">
        <i x="3" s="1"/>
        <i x="1" s="1"/>
        <i x="4" s="1"/>
        <i x="2" s="1"/>
        <i x="5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60647651-B02A-49EF-A443-D6B12159BF95}" cache="SegmentaçãodeDados_Ano" caption="Ano" columnCount="2" style="Estilo de Segmentação de Dados 3" rowHeight="257175"/>
  <slicer name="Cidade" xr10:uid="{C5F8CC81-14E1-45C1-ADF7-EA6B429FBBA4}" cache="SegmentaçãodeDados_Cidade" caption="Cidade" style="Estilo de Segmentação de Dados 3" rowHeight="257175"/>
  <slicer name="Gerente" xr10:uid="{610B3B5A-0044-4DBE-8558-9B16DD738840}" cache="SegmentaçãodeDados_Gerente" caption="Gerente" style="Estilo de Segmentação de Dados 3" rowHeight="257175"/>
  <slicer name="Vendedor" xr10:uid="{68829DEA-4E1F-4864-A669-0E574AA6295B}" cache="SegmentaçãodeDados_Vendedor" caption="Vendedor" startItem="3" style="Estilo de Segmentação de Dados 3" rowHeight="257175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4378-8905-4DF3-AFD8-99C331748240}">
  <dimension ref="A1:G31"/>
  <sheetViews>
    <sheetView workbookViewId="0">
      <selection activeCell="J2" sqref="J2"/>
    </sheetView>
  </sheetViews>
  <sheetFormatPr defaultRowHeight="15" x14ac:dyDescent="0.25"/>
  <cols>
    <col min="1" max="3" width="17.7109375" style="1" customWidth="1"/>
    <col min="4" max="4" width="15.5703125" style="1" customWidth="1"/>
    <col min="5" max="6" width="17.7109375" customWidth="1"/>
    <col min="7" max="7" width="19.7109375" style="2" customWidth="1"/>
  </cols>
  <sheetData>
    <row r="1" spans="1:7" ht="18.75" x14ac:dyDescent="0.3">
      <c r="A1" s="5" t="s">
        <v>5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6" t="s">
        <v>6</v>
      </c>
    </row>
    <row r="2" spans="1:7" x14ac:dyDescent="0.25">
      <c r="A2" s="3">
        <v>2022</v>
      </c>
      <c r="B2" s="3" t="s">
        <v>7</v>
      </c>
      <c r="C2" s="3" t="s">
        <v>15</v>
      </c>
      <c r="D2" s="3" t="s">
        <v>19</v>
      </c>
      <c r="E2" s="3" t="s">
        <v>21</v>
      </c>
      <c r="F2" s="3" t="s">
        <v>24</v>
      </c>
      <c r="G2" s="4">
        <v>3567</v>
      </c>
    </row>
    <row r="3" spans="1:7" x14ac:dyDescent="0.25">
      <c r="A3" s="3">
        <v>2022</v>
      </c>
      <c r="B3" s="3" t="s">
        <v>8</v>
      </c>
      <c r="C3" s="3" t="s">
        <v>13</v>
      </c>
      <c r="D3" s="3" t="s">
        <v>19</v>
      </c>
      <c r="E3" s="3" t="s">
        <v>22</v>
      </c>
      <c r="F3" s="3" t="s">
        <v>25</v>
      </c>
      <c r="G3" s="4">
        <v>4800</v>
      </c>
    </row>
    <row r="4" spans="1:7" x14ac:dyDescent="0.25">
      <c r="A4" s="3">
        <v>2022</v>
      </c>
      <c r="B4" s="3" t="s">
        <v>9</v>
      </c>
      <c r="C4" s="3" t="s">
        <v>14</v>
      </c>
      <c r="D4" s="3" t="s">
        <v>19</v>
      </c>
      <c r="E4" s="3" t="s">
        <v>22</v>
      </c>
      <c r="F4" s="3" t="s">
        <v>26</v>
      </c>
      <c r="G4" s="4">
        <v>2345</v>
      </c>
    </row>
    <row r="5" spans="1:7" x14ac:dyDescent="0.25">
      <c r="A5" s="3">
        <v>2022</v>
      </c>
      <c r="B5" s="3" t="s">
        <v>10</v>
      </c>
      <c r="C5" s="3" t="s">
        <v>16</v>
      </c>
      <c r="D5" s="3" t="s">
        <v>20</v>
      </c>
      <c r="E5" s="3" t="s">
        <v>21</v>
      </c>
      <c r="F5" s="3" t="s">
        <v>27</v>
      </c>
      <c r="G5" s="4">
        <v>12345</v>
      </c>
    </row>
    <row r="6" spans="1:7" x14ac:dyDescent="0.25">
      <c r="A6" s="3">
        <v>2022</v>
      </c>
      <c r="B6" s="3" t="s">
        <v>11</v>
      </c>
      <c r="C6" s="3" t="s">
        <v>17</v>
      </c>
      <c r="D6" s="3" t="s">
        <v>20</v>
      </c>
      <c r="E6" s="3" t="s">
        <v>23</v>
      </c>
      <c r="F6" s="3" t="s">
        <v>28</v>
      </c>
      <c r="G6" s="4">
        <v>5600</v>
      </c>
    </row>
    <row r="7" spans="1:7" x14ac:dyDescent="0.25">
      <c r="A7" s="3">
        <v>2022</v>
      </c>
      <c r="B7" s="3" t="s">
        <v>12</v>
      </c>
      <c r="C7" s="3" t="s">
        <v>18</v>
      </c>
      <c r="D7" s="3" t="s">
        <v>20</v>
      </c>
      <c r="E7" s="3" t="s">
        <v>23</v>
      </c>
      <c r="F7" s="3" t="s">
        <v>29</v>
      </c>
      <c r="G7" s="4">
        <v>3760</v>
      </c>
    </row>
    <row r="8" spans="1:7" x14ac:dyDescent="0.25">
      <c r="A8" s="3">
        <v>2022</v>
      </c>
      <c r="B8" s="3" t="s">
        <v>7</v>
      </c>
      <c r="C8" s="3" t="s">
        <v>15</v>
      </c>
      <c r="D8" s="3" t="s">
        <v>19</v>
      </c>
      <c r="E8" s="3" t="s">
        <v>21</v>
      </c>
      <c r="F8" s="3" t="s">
        <v>24</v>
      </c>
      <c r="G8" s="4">
        <f>G2+120</f>
        <v>3687</v>
      </c>
    </row>
    <row r="9" spans="1:7" x14ac:dyDescent="0.25">
      <c r="A9" s="3">
        <v>2022</v>
      </c>
      <c r="B9" s="3" t="s">
        <v>8</v>
      </c>
      <c r="C9" s="3" t="s">
        <v>13</v>
      </c>
      <c r="D9" s="3" t="s">
        <v>19</v>
      </c>
      <c r="E9" s="3" t="s">
        <v>22</v>
      </c>
      <c r="F9" s="3" t="s">
        <v>25</v>
      </c>
      <c r="G9" s="4">
        <f>G3+120</f>
        <v>4920</v>
      </c>
    </row>
    <row r="10" spans="1:7" x14ac:dyDescent="0.25">
      <c r="A10" s="3">
        <v>2022</v>
      </c>
      <c r="B10" s="3" t="s">
        <v>9</v>
      </c>
      <c r="C10" s="3" t="s">
        <v>14</v>
      </c>
      <c r="D10" s="3" t="s">
        <v>19</v>
      </c>
      <c r="E10" s="3" t="s">
        <v>22</v>
      </c>
      <c r="F10" s="3" t="s">
        <v>26</v>
      </c>
      <c r="G10" s="4">
        <f>G4+120</f>
        <v>2465</v>
      </c>
    </row>
    <row r="11" spans="1:7" x14ac:dyDescent="0.25">
      <c r="A11" s="3">
        <v>2022</v>
      </c>
      <c r="B11" s="3" t="s">
        <v>10</v>
      </c>
      <c r="C11" s="3" t="s">
        <v>16</v>
      </c>
      <c r="D11" s="3" t="s">
        <v>20</v>
      </c>
      <c r="E11" s="3" t="s">
        <v>21</v>
      </c>
      <c r="F11" s="3" t="s">
        <v>27</v>
      </c>
      <c r="G11" s="4">
        <v>8560</v>
      </c>
    </row>
    <row r="12" spans="1:7" x14ac:dyDescent="0.25">
      <c r="A12" s="3">
        <v>2022</v>
      </c>
      <c r="B12" s="3" t="s">
        <v>11</v>
      </c>
      <c r="C12" s="3" t="s">
        <v>17</v>
      </c>
      <c r="D12" s="3" t="s">
        <v>20</v>
      </c>
      <c r="E12" s="3" t="s">
        <v>23</v>
      </c>
      <c r="F12" s="3" t="s">
        <v>28</v>
      </c>
      <c r="G12" s="4">
        <f>G6+120</f>
        <v>5720</v>
      </c>
    </row>
    <row r="13" spans="1:7" x14ac:dyDescent="0.25">
      <c r="A13" s="3">
        <v>2022</v>
      </c>
      <c r="B13" s="3" t="s">
        <v>12</v>
      </c>
      <c r="C13" s="3" t="s">
        <v>18</v>
      </c>
      <c r="D13" s="3" t="s">
        <v>20</v>
      </c>
      <c r="E13" s="3" t="s">
        <v>23</v>
      </c>
      <c r="F13" s="3" t="s">
        <v>29</v>
      </c>
      <c r="G13" s="4">
        <f>G7+120</f>
        <v>3880</v>
      </c>
    </row>
    <row r="14" spans="1:7" x14ac:dyDescent="0.25">
      <c r="A14" s="3">
        <v>2022</v>
      </c>
      <c r="B14" s="3" t="s">
        <v>7</v>
      </c>
      <c r="C14" s="3" t="s">
        <v>15</v>
      </c>
      <c r="D14" s="3" t="s">
        <v>19</v>
      </c>
      <c r="E14" s="3" t="s">
        <v>21</v>
      </c>
      <c r="F14" s="3" t="s">
        <v>24</v>
      </c>
      <c r="G14" s="4">
        <f>G8+120</f>
        <v>3807</v>
      </c>
    </row>
    <row r="15" spans="1:7" x14ac:dyDescent="0.25">
      <c r="A15" s="3">
        <v>2022</v>
      </c>
      <c r="B15" s="3" t="s">
        <v>8</v>
      </c>
      <c r="C15" s="3" t="s">
        <v>13</v>
      </c>
      <c r="D15" s="3" t="s">
        <v>19</v>
      </c>
      <c r="E15" s="3" t="s">
        <v>22</v>
      </c>
      <c r="F15" s="3" t="s">
        <v>25</v>
      </c>
      <c r="G15" s="4">
        <f>G9+120</f>
        <v>5040</v>
      </c>
    </row>
    <row r="16" spans="1:7" x14ac:dyDescent="0.25">
      <c r="A16" s="3">
        <v>2023</v>
      </c>
      <c r="B16" s="3" t="s">
        <v>9</v>
      </c>
      <c r="C16" s="3" t="s">
        <v>14</v>
      </c>
      <c r="D16" s="3" t="s">
        <v>19</v>
      </c>
      <c r="E16" s="3" t="s">
        <v>22</v>
      </c>
      <c r="F16" s="3" t="s">
        <v>26</v>
      </c>
      <c r="G16" s="4">
        <f>G10+120</f>
        <v>2585</v>
      </c>
    </row>
    <row r="17" spans="1:7" x14ac:dyDescent="0.25">
      <c r="A17" s="3">
        <v>2023</v>
      </c>
      <c r="B17" s="3" t="s">
        <v>10</v>
      </c>
      <c r="C17" s="3" t="s">
        <v>16</v>
      </c>
      <c r="D17" s="3" t="s">
        <v>20</v>
      </c>
      <c r="E17" s="3" t="s">
        <v>21</v>
      </c>
      <c r="F17" s="3" t="s">
        <v>27</v>
      </c>
      <c r="G17" s="4">
        <v>7450</v>
      </c>
    </row>
    <row r="18" spans="1:7" x14ac:dyDescent="0.25">
      <c r="A18" s="3">
        <v>2023</v>
      </c>
      <c r="B18" s="3" t="s">
        <v>11</v>
      </c>
      <c r="C18" s="3" t="s">
        <v>17</v>
      </c>
      <c r="D18" s="3" t="s">
        <v>20</v>
      </c>
      <c r="E18" s="3" t="s">
        <v>23</v>
      </c>
      <c r="F18" s="3" t="s">
        <v>28</v>
      </c>
      <c r="G18" s="4">
        <f>G12+120</f>
        <v>5840</v>
      </c>
    </row>
    <row r="19" spans="1:7" x14ac:dyDescent="0.25">
      <c r="A19" s="3">
        <v>2023</v>
      </c>
      <c r="B19" s="3" t="s">
        <v>12</v>
      </c>
      <c r="C19" s="3" t="s">
        <v>18</v>
      </c>
      <c r="D19" s="3" t="s">
        <v>20</v>
      </c>
      <c r="E19" s="3" t="s">
        <v>23</v>
      </c>
      <c r="F19" s="3" t="s">
        <v>29</v>
      </c>
      <c r="G19" s="4">
        <f>G13+120</f>
        <v>4000</v>
      </c>
    </row>
    <row r="20" spans="1:7" x14ac:dyDescent="0.25">
      <c r="A20" s="3">
        <v>2023</v>
      </c>
      <c r="B20" s="3" t="s">
        <v>7</v>
      </c>
      <c r="C20" s="3" t="s">
        <v>15</v>
      </c>
      <c r="D20" s="3" t="s">
        <v>19</v>
      </c>
      <c r="E20" s="3" t="s">
        <v>21</v>
      </c>
      <c r="F20" s="3" t="s">
        <v>24</v>
      </c>
      <c r="G20" s="4">
        <f>G14+120</f>
        <v>3927</v>
      </c>
    </row>
    <row r="21" spans="1:7" x14ac:dyDescent="0.25">
      <c r="A21" s="3">
        <v>2023</v>
      </c>
      <c r="B21" s="3" t="s">
        <v>8</v>
      </c>
      <c r="C21" s="3" t="s">
        <v>13</v>
      </c>
      <c r="D21" s="3" t="s">
        <v>19</v>
      </c>
      <c r="E21" s="3" t="s">
        <v>22</v>
      </c>
      <c r="F21" s="3" t="s">
        <v>25</v>
      </c>
      <c r="G21" s="4">
        <f>G15+120</f>
        <v>5160</v>
      </c>
    </row>
    <row r="22" spans="1:7" x14ac:dyDescent="0.25">
      <c r="A22" s="3">
        <v>2023</v>
      </c>
      <c r="B22" s="3" t="s">
        <v>9</v>
      </c>
      <c r="C22" s="3" t="s">
        <v>14</v>
      </c>
      <c r="D22" s="3" t="s">
        <v>19</v>
      </c>
      <c r="E22" s="3" t="s">
        <v>22</v>
      </c>
      <c r="F22" s="3" t="s">
        <v>26</v>
      </c>
      <c r="G22" s="4">
        <f>G16+120</f>
        <v>2705</v>
      </c>
    </row>
    <row r="23" spans="1:7" x14ac:dyDescent="0.25">
      <c r="A23" s="3">
        <v>2023</v>
      </c>
      <c r="B23" s="3" t="s">
        <v>10</v>
      </c>
      <c r="C23" s="3" t="s">
        <v>16</v>
      </c>
      <c r="D23" s="3" t="s">
        <v>20</v>
      </c>
      <c r="E23" s="3" t="s">
        <v>21</v>
      </c>
      <c r="F23" s="3" t="s">
        <v>27</v>
      </c>
      <c r="G23" s="4">
        <f>G17+120</f>
        <v>7570</v>
      </c>
    </row>
    <row r="24" spans="1:7" x14ac:dyDescent="0.25">
      <c r="A24" s="3">
        <v>2023</v>
      </c>
      <c r="B24" s="3" t="s">
        <v>11</v>
      </c>
      <c r="C24" s="3" t="s">
        <v>17</v>
      </c>
      <c r="D24" s="3" t="s">
        <v>20</v>
      </c>
      <c r="E24" s="3" t="s">
        <v>23</v>
      </c>
      <c r="F24" s="3" t="s">
        <v>28</v>
      </c>
      <c r="G24" s="4">
        <f>G18+120</f>
        <v>5960</v>
      </c>
    </row>
    <row r="25" spans="1:7" x14ac:dyDescent="0.25">
      <c r="A25" s="3">
        <v>2023</v>
      </c>
      <c r="B25" s="3" t="s">
        <v>12</v>
      </c>
      <c r="C25" s="3" t="s">
        <v>18</v>
      </c>
      <c r="D25" s="3" t="s">
        <v>20</v>
      </c>
      <c r="E25" s="3" t="s">
        <v>23</v>
      </c>
      <c r="F25" s="3" t="s">
        <v>29</v>
      </c>
      <c r="G25" s="4">
        <f>G19+120</f>
        <v>4120</v>
      </c>
    </row>
    <row r="26" spans="1:7" x14ac:dyDescent="0.25">
      <c r="A26" s="3">
        <v>2023</v>
      </c>
      <c r="B26" s="3" t="s">
        <v>7</v>
      </c>
      <c r="C26" s="3" t="s">
        <v>15</v>
      </c>
      <c r="D26" s="3" t="s">
        <v>19</v>
      </c>
      <c r="E26" s="3" t="s">
        <v>21</v>
      </c>
      <c r="F26" s="3" t="s">
        <v>24</v>
      </c>
      <c r="G26" s="4">
        <f>G20+120</f>
        <v>4047</v>
      </c>
    </row>
    <row r="27" spans="1:7" x14ac:dyDescent="0.25">
      <c r="A27" s="3">
        <v>2023</v>
      </c>
      <c r="B27" s="3" t="s">
        <v>8</v>
      </c>
      <c r="C27" s="3" t="s">
        <v>13</v>
      </c>
      <c r="D27" s="3" t="s">
        <v>19</v>
      </c>
      <c r="E27" s="3" t="s">
        <v>22</v>
      </c>
      <c r="F27" s="3" t="s">
        <v>25</v>
      </c>
      <c r="G27" s="4">
        <f>G21+120</f>
        <v>5280</v>
      </c>
    </row>
    <row r="28" spans="1:7" x14ac:dyDescent="0.25">
      <c r="A28" s="3">
        <v>2023</v>
      </c>
      <c r="B28" s="3" t="s">
        <v>9</v>
      </c>
      <c r="C28" s="3" t="s">
        <v>14</v>
      </c>
      <c r="D28" s="3" t="s">
        <v>19</v>
      </c>
      <c r="E28" s="3" t="s">
        <v>22</v>
      </c>
      <c r="F28" s="3" t="s">
        <v>26</v>
      </c>
      <c r="G28" s="4">
        <f>G22+120</f>
        <v>2825</v>
      </c>
    </row>
    <row r="29" spans="1:7" x14ac:dyDescent="0.25">
      <c r="A29" s="3">
        <v>2023</v>
      </c>
      <c r="B29" s="3" t="s">
        <v>10</v>
      </c>
      <c r="C29" s="3" t="s">
        <v>16</v>
      </c>
      <c r="D29" s="3" t="s">
        <v>20</v>
      </c>
      <c r="E29" s="3" t="s">
        <v>21</v>
      </c>
      <c r="F29" s="3" t="s">
        <v>27</v>
      </c>
      <c r="G29" s="4">
        <f>G23+120</f>
        <v>7690</v>
      </c>
    </row>
    <row r="30" spans="1:7" x14ac:dyDescent="0.25">
      <c r="A30" s="3">
        <v>2023</v>
      </c>
      <c r="B30" s="3" t="s">
        <v>11</v>
      </c>
      <c r="C30" s="3" t="s">
        <v>17</v>
      </c>
      <c r="D30" s="3" t="s">
        <v>20</v>
      </c>
      <c r="E30" s="3" t="s">
        <v>23</v>
      </c>
      <c r="F30" s="3" t="s">
        <v>28</v>
      </c>
      <c r="G30" s="4">
        <f>G24+120</f>
        <v>6080</v>
      </c>
    </row>
    <row r="31" spans="1:7" x14ac:dyDescent="0.25">
      <c r="A31" s="3">
        <v>2023</v>
      </c>
      <c r="B31" s="3" t="s">
        <v>12</v>
      </c>
      <c r="C31" s="3" t="s">
        <v>18</v>
      </c>
      <c r="D31" s="3" t="s">
        <v>20</v>
      </c>
      <c r="E31" s="3" t="s">
        <v>23</v>
      </c>
      <c r="F31" s="3" t="s">
        <v>29</v>
      </c>
      <c r="G31" s="4">
        <f>G25+120</f>
        <v>4240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23CC-4195-47B5-8F9F-A30E1608518D}">
  <dimension ref="A2:E19"/>
  <sheetViews>
    <sheetView workbookViewId="0">
      <selection activeCell="E17" sqref="E17"/>
    </sheetView>
  </sheetViews>
  <sheetFormatPr defaultRowHeight="15" x14ac:dyDescent="0.25"/>
  <cols>
    <col min="1" max="1" width="18.42578125" bestFit="1" customWidth="1"/>
    <col min="2" max="2" width="23.85546875" bestFit="1" customWidth="1"/>
    <col min="3" max="3" width="3" customWidth="1"/>
    <col min="4" max="4" width="18.42578125" bestFit="1" customWidth="1"/>
    <col min="5" max="5" width="23.85546875" bestFit="1" customWidth="1"/>
  </cols>
  <sheetData>
    <row r="2" spans="1:5" x14ac:dyDescent="0.25">
      <c r="A2" s="10" t="s">
        <v>4</v>
      </c>
      <c r="B2" s="10"/>
      <c r="D2" s="10" t="s">
        <v>3</v>
      </c>
      <c r="E2" s="10"/>
    </row>
    <row r="3" spans="1:5" x14ac:dyDescent="0.25">
      <c r="A3" s="8" t="s">
        <v>31</v>
      </c>
      <c r="B3" t="s">
        <v>30</v>
      </c>
      <c r="D3" s="8" t="s">
        <v>31</v>
      </c>
      <c r="E3" t="s">
        <v>30</v>
      </c>
    </row>
    <row r="4" spans="1:5" x14ac:dyDescent="0.25">
      <c r="A4" s="9" t="s">
        <v>27</v>
      </c>
      <c r="B4" s="7">
        <v>20905</v>
      </c>
      <c r="D4" s="9" t="s">
        <v>22</v>
      </c>
      <c r="E4" s="7">
        <v>19570</v>
      </c>
    </row>
    <row r="5" spans="1:5" x14ac:dyDescent="0.25">
      <c r="A5" s="9" t="s">
        <v>25</v>
      </c>
      <c r="B5" s="7">
        <v>14760</v>
      </c>
      <c r="D5" s="9" t="s">
        <v>21</v>
      </c>
      <c r="E5" s="7">
        <v>31966</v>
      </c>
    </row>
    <row r="6" spans="1:5" x14ac:dyDescent="0.25">
      <c r="A6" s="9" t="s">
        <v>28</v>
      </c>
      <c r="B6" s="7">
        <v>11320</v>
      </c>
      <c r="D6" s="9" t="s">
        <v>23</v>
      </c>
      <c r="E6" s="7">
        <v>18960</v>
      </c>
    </row>
    <row r="7" spans="1:5" x14ac:dyDescent="0.25">
      <c r="A7" s="9" t="s">
        <v>26</v>
      </c>
      <c r="B7" s="7">
        <v>4810</v>
      </c>
      <c r="D7" s="9" t="s">
        <v>32</v>
      </c>
      <c r="E7" s="7">
        <v>70496</v>
      </c>
    </row>
    <row r="8" spans="1:5" x14ac:dyDescent="0.25">
      <c r="A8" s="9" t="s">
        <v>29</v>
      </c>
      <c r="B8" s="7">
        <v>7640</v>
      </c>
      <c r="D8" s="10" t="s">
        <v>2</v>
      </c>
      <c r="E8" s="10"/>
    </row>
    <row r="9" spans="1:5" x14ac:dyDescent="0.25">
      <c r="A9" s="9" t="s">
        <v>24</v>
      </c>
      <c r="B9" s="7">
        <v>11061</v>
      </c>
      <c r="D9" s="8" t="s">
        <v>31</v>
      </c>
      <c r="E9" t="s">
        <v>30</v>
      </c>
    </row>
    <row r="10" spans="1:5" x14ac:dyDescent="0.25">
      <c r="A10" s="9" t="s">
        <v>32</v>
      </c>
      <c r="B10" s="7">
        <v>70496</v>
      </c>
      <c r="D10" s="9" t="s">
        <v>20</v>
      </c>
      <c r="E10" s="7">
        <v>39865</v>
      </c>
    </row>
    <row r="11" spans="1:5" x14ac:dyDescent="0.25">
      <c r="A11" s="10" t="s">
        <v>0</v>
      </c>
      <c r="B11" s="10"/>
      <c r="D11" s="9" t="s">
        <v>19</v>
      </c>
      <c r="E11" s="7">
        <v>30631</v>
      </c>
    </row>
    <row r="12" spans="1:5" x14ac:dyDescent="0.25">
      <c r="A12" s="8" t="s">
        <v>31</v>
      </c>
      <c r="B12" t="s">
        <v>30</v>
      </c>
      <c r="D12" s="9" t="s">
        <v>32</v>
      </c>
      <c r="E12" s="7">
        <v>70496</v>
      </c>
    </row>
    <row r="13" spans="1:5" x14ac:dyDescent="0.25">
      <c r="A13" s="9" t="s">
        <v>9</v>
      </c>
      <c r="B13" s="7">
        <v>4810</v>
      </c>
    </row>
    <row r="14" spans="1:5" x14ac:dyDescent="0.25">
      <c r="A14" s="9" t="s">
        <v>10</v>
      </c>
      <c r="B14" s="7">
        <v>20905</v>
      </c>
    </row>
    <row r="15" spans="1:5" x14ac:dyDescent="0.25">
      <c r="A15" s="9" t="s">
        <v>8</v>
      </c>
      <c r="B15" s="7">
        <v>14760</v>
      </c>
    </row>
    <row r="16" spans="1:5" x14ac:dyDescent="0.25">
      <c r="A16" s="9" t="s">
        <v>11</v>
      </c>
      <c r="B16" s="7">
        <v>11320</v>
      </c>
    </row>
    <row r="17" spans="1:2" x14ac:dyDescent="0.25">
      <c r="A17" s="9" t="s">
        <v>12</v>
      </c>
      <c r="B17" s="7">
        <v>7640</v>
      </c>
    </row>
    <row r="18" spans="1:2" x14ac:dyDescent="0.25">
      <c r="A18" s="9" t="s">
        <v>7</v>
      </c>
      <c r="B18" s="7">
        <v>11061</v>
      </c>
    </row>
    <row r="19" spans="1:2" x14ac:dyDescent="0.25">
      <c r="A19" s="9" t="s">
        <v>32</v>
      </c>
      <c r="B19" s="7">
        <v>70496</v>
      </c>
    </row>
  </sheetData>
  <mergeCells count="4">
    <mergeCell ref="A2:B2"/>
    <mergeCell ref="D2:E2"/>
    <mergeCell ref="D8:E8"/>
    <mergeCell ref="A11:B1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58AF-396C-4B97-AEF5-0522205B7AF7}">
  <dimension ref="B2:U31"/>
  <sheetViews>
    <sheetView tabSelected="1" zoomScale="75" zoomScaleNormal="75" workbookViewId="0">
      <selection activeCell="X14" sqref="X14"/>
    </sheetView>
  </sheetViews>
  <sheetFormatPr defaultRowHeight="15" x14ac:dyDescent="0.25"/>
  <cols>
    <col min="1" max="1" width="2.28515625" customWidth="1"/>
  </cols>
  <sheetData>
    <row r="2" spans="2:21" x14ac:dyDescent="0.25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2:21" ht="15" customHeight="1" x14ac:dyDescent="0.25">
      <c r="B3" s="11"/>
      <c r="C3" s="12" t="s">
        <v>33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1"/>
      <c r="S3" s="11"/>
      <c r="T3" s="11"/>
      <c r="U3" s="11"/>
    </row>
    <row r="4" spans="2:21" ht="15" customHeight="1" x14ac:dyDescent="0.25"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1"/>
      <c r="S4" s="11"/>
      <c r="T4" s="11"/>
      <c r="U4" s="11"/>
    </row>
    <row r="5" spans="2:21" x14ac:dyDescent="0.2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2:21" x14ac:dyDescent="0.25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2:21" x14ac:dyDescent="0.25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x14ac:dyDescent="0.25"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2:21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2:21" x14ac:dyDescent="0.25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x14ac:dyDescent="0.25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x14ac:dyDescent="0.25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2:21" x14ac:dyDescent="0.25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2:21" x14ac:dyDescent="0.25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2:21" x14ac:dyDescent="0.25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2:21" x14ac:dyDescent="0.25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2:21" x14ac:dyDescent="0.25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2:21" x14ac:dyDescent="0.25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2:21" x14ac:dyDescent="0.25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2:21" x14ac:dyDescent="0.25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2:21" x14ac:dyDescent="0.25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2:21" x14ac:dyDescent="0.25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2:21" x14ac:dyDescent="0.25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2:21" x14ac:dyDescent="0.25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2:21" x14ac:dyDescent="0.25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2:21" x14ac:dyDescent="0.25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2:21" x14ac:dyDescent="0.25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2:21" x14ac:dyDescent="0.25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spans="2:21" x14ac:dyDescent="0.25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2:21" x14ac:dyDescent="0.25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2:21" x14ac:dyDescent="0.25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</sheetData>
  <mergeCells count="1">
    <mergeCell ref="C3:Q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</vt:lpstr>
      <vt:lpstr>Tabelas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Rubio</dc:creator>
  <cp:lastModifiedBy>Leonardo Rezende</cp:lastModifiedBy>
  <dcterms:created xsi:type="dcterms:W3CDTF">2024-01-05T19:13:17Z</dcterms:created>
  <dcterms:modified xsi:type="dcterms:W3CDTF">2025-10-08T19:17:13Z</dcterms:modified>
</cp:coreProperties>
</file>